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AD-S recomputed" sheetId="1" state="visible" r:id="rId1"/>
    <sheet xmlns:r="http://schemas.openxmlformats.org/officeDocument/2006/relationships" name="Propagation edges" sheetId="2" state="visible" r:id="rId2"/>
    <sheet xmlns:r="http://schemas.openxmlformats.org/officeDocument/2006/relationships" name="Blast radi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12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</cols>
  <sheetData>
    <row r="1" ht="45" customHeight="1">
      <c r="A1" s="1" t="inlineStr">
        <is>
          <t>ID</t>
        </is>
      </c>
      <c r="B1" s="1" t="inlineStr">
        <is>
          <t>Layer</t>
        </is>
      </c>
      <c r="C1" s="1" t="inlineStr">
        <is>
          <t>Asset</t>
        </is>
      </c>
      <c r="D1" s="1" t="inlineStr">
        <is>
          <t>D</t>
        </is>
      </c>
      <c r="E1" s="1" t="inlineStr">
        <is>
          <t>R</t>
        </is>
      </c>
      <c r="F1" s="1" t="inlineStr">
        <is>
          <t>E</t>
        </is>
      </c>
      <c r="G1" s="1" t="inlineStr">
        <is>
          <t>A</t>
        </is>
      </c>
      <c r="H1" s="1" t="inlineStr">
        <is>
          <t>D2</t>
        </is>
      </c>
      <c r="I1" s="1" t="inlineStr">
        <is>
          <t>S (safety impact)</t>
        </is>
      </c>
      <c r="J1" s="1" t="inlineStr">
        <is>
          <t>DREAD-S (Eq. 1, formula)</t>
        </is>
      </c>
      <c r="K1" s="1" t="inlineStr">
        <is>
          <t>Severity band</t>
        </is>
      </c>
      <c r="L1" s="1" t="inlineStr">
        <is>
          <t>Stated DREAD-S (earlier catalogue)</t>
        </is>
      </c>
      <c r="M1" s="1" t="inlineStr">
        <is>
          <t>Difference (recomputed - stated)</t>
        </is>
      </c>
      <c r="N1" s="1" t="inlineStr">
        <is>
          <t>Evidence confidence</t>
        </is>
      </c>
    </row>
    <row r="2">
      <c r="A2" t="inlineStr">
        <is>
          <t>GOV-01</t>
        </is>
      </c>
      <c r="B2" t="inlineStr">
        <is>
          <t>Governance</t>
        </is>
      </c>
      <c r="C2" t="inlineStr">
        <is>
          <t>Competent Authority Systems</t>
        </is>
      </c>
      <c r="D2" t="n">
        <v>7</v>
      </c>
      <c r="E2" t="n">
        <v>5</v>
      </c>
      <c r="F2" t="n">
        <v>6</v>
      </c>
      <c r="G2" t="n">
        <v>6</v>
      </c>
      <c r="H2" t="n">
        <v>7</v>
      </c>
      <c r="I2" t="n">
        <v>2</v>
      </c>
      <c r="J2" s="2">
        <f>(SUMPRODUCT(1+(4/9)*(D2:H2-1))+I2)/6</f>
        <v/>
      </c>
      <c r="K2">
        <f>IF(J2&lt;=1.8,"Minimal",IF(J2&lt;=2.6,"Low",IF(J2&lt;=3.4,"Medium",IF(J2&lt;=4.2,"High","Critical"))))</f>
        <v/>
      </c>
      <c r="L2" t="n">
        <v>3.3</v>
      </c>
      <c r="M2" s="2">
        <f>ROUND(J2-L2,2)</f>
        <v/>
      </c>
      <c r="N2" t="inlineStr">
        <is>
          <t>Weak</t>
        </is>
      </c>
    </row>
    <row r="3">
      <c r="A3" t="inlineStr">
        <is>
          <t>GOV-02</t>
        </is>
      </c>
      <c r="B3" t="inlineStr">
        <is>
          <t>Governance</t>
        </is>
      </c>
      <c r="C3" t="inlineStr">
        <is>
          <t>Regulatory Framework / Legal Instrument</t>
        </is>
      </c>
      <c r="D3" t="n">
        <v>6</v>
      </c>
      <c r="E3" t="n">
        <v>5</v>
      </c>
      <c r="F3" t="n">
        <v>6</v>
      </c>
      <c r="G3" t="n">
        <v>5</v>
      </c>
      <c r="H3" t="n">
        <v>6</v>
      </c>
      <c r="I3" t="n">
        <v>2</v>
      </c>
      <c r="J3" s="2">
        <f>(SUMPRODUCT(1+(4/9)*(D3:H3-1))+I3)/6</f>
        <v/>
      </c>
      <c r="K3">
        <f>IF(J3&lt;=1.8,"Minimal",IF(J3&lt;=2.6,"Low",IF(J3&lt;=3.4,"Medium",IF(J3&lt;=4.2,"High","Critical"))))</f>
        <v/>
      </c>
      <c r="L3" t="n">
        <v>2.9</v>
      </c>
      <c r="M3" s="2">
        <f>ROUND(J3-L3,2)</f>
        <v/>
      </c>
      <c r="N3" t="inlineStr">
        <is>
          <t>Moderate</t>
        </is>
      </c>
    </row>
    <row r="4">
      <c r="A4" t="inlineStr">
        <is>
          <t>GOV-03</t>
        </is>
      </c>
      <c r="B4" t="inlineStr">
        <is>
          <t>Governance</t>
        </is>
      </c>
      <c r="C4" t="inlineStr">
        <is>
          <t>Strategic Planning &amp; Decision Systems</t>
        </is>
      </c>
      <c r="D4" t="n">
        <v>7</v>
      </c>
      <c r="E4" t="n">
        <v>5</v>
      </c>
      <c r="F4" t="n">
        <v>6</v>
      </c>
      <c r="G4" t="n">
        <v>6</v>
      </c>
      <c r="H4" t="n">
        <v>7</v>
      </c>
      <c r="I4" t="n">
        <v>2</v>
      </c>
      <c r="J4" s="2">
        <f>(SUMPRODUCT(1+(4/9)*(D4:H4-1))+I4)/6</f>
        <v/>
      </c>
      <c r="K4">
        <f>IF(J4&lt;=1.8,"Minimal",IF(J4&lt;=2.6,"Low",IF(J4&lt;=3.4,"Medium",IF(J4&lt;=4.2,"High","Critical"))))</f>
        <v/>
      </c>
      <c r="L4" t="n">
        <v>3.2</v>
      </c>
      <c r="M4" s="2">
        <f>ROUND(J4-L4,2)</f>
        <v/>
      </c>
      <c r="N4" t="inlineStr">
        <is>
          <t>None</t>
        </is>
      </c>
    </row>
    <row r="5">
      <c r="A5" t="inlineStr">
        <is>
          <t>SVC-01</t>
        </is>
      </c>
      <c r="B5" t="inlineStr">
        <is>
          <t>Service</t>
        </is>
      </c>
      <c r="C5" t="inlineStr">
        <is>
          <t>Registration &amp; Electronic ID (EID)</t>
        </is>
      </c>
      <c r="D5" t="n">
        <v>8</v>
      </c>
      <c r="E5" t="n">
        <v>7</v>
      </c>
      <c r="F5" t="n">
        <v>8</v>
      </c>
      <c r="G5" t="n">
        <v>8</v>
      </c>
      <c r="H5" t="n">
        <v>7</v>
      </c>
      <c r="I5" t="n">
        <v>3</v>
      </c>
      <c r="J5" s="2">
        <f>(SUMPRODUCT(1+(4/9)*(D5:H5-1))+I5)/6</f>
        <v/>
      </c>
      <c r="K5">
        <f>IF(J5&lt;=1.8,"Minimal",IF(J5&lt;=2.6,"Low",IF(J5&lt;=3.4,"Medium",IF(J5&lt;=4.2,"High","Critical"))))</f>
        <v/>
      </c>
      <c r="L5" t="n">
        <v>4.2</v>
      </c>
      <c r="M5" s="2">
        <f>ROUND(J5-L5,2)</f>
        <v/>
      </c>
      <c r="N5" t="inlineStr">
        <is>
          <t>Strong</t>
        </is>
      </c>
    </row>
    <row r="6">
      <c r="A6" t="inlineStr">
        <is>
          <t>SVC-02</t>
        </is>
      </c>
      <c r="B6" t="inlineStr">
        <is>
          <t>Service</t>
        </is>
      </c>
      <c r="C6" t="inlineStr">
        <is>
          <t>Tracking &amp; Monitoring Service</t>
        </is>
      </c>
      <c r="D6" t="n">
        <v>9</v>
      </c>
      <c r="E6" t="n">
        <v>7</v>
      </c>
      <c r="F6" t="n">
        <v>9</v>
      </c>
      <c r="G6" t="n">
        <v>8</v>
      </c>
      <c r="H6" t="n">
        <v>8</v>
      </c>
      <c r="I6" t="n">
        <v>4</v>
      </c>
      <c r="J6" s="2">
        <f>(SUMPRODUCT(1+(4/9)*(D6:H6-1))+I6)/6</f>
        <v/>
      </c>
      <c r="K6">
        <f>IF(J6&lt;=1.8,"Minimal",IF(J6&lt;=2.6,"Low",IF(J6&lt;=3.4,"Medium",IF(J6&lt;=4.2,"High","Critical"))))</f>
        <v/>
      </c>
      <c r="L6" t="n">
        <v>4.8</v>
      </c>
      <c r="M6" s="2">
        <f>ROUND(J6-L6,2)</f>
        <v/>
      </c>
      <c r="N6" t="inlineStr">
        <is>
          <t>Weak</t>
        </is>
      </c>
    </row>
    <row r="7">
      <c r="A7" t="inlineStr">
        <is>
          <t>SVC-03</t>
        </is>
      </c>
      <c r="B7" t="inlineStr">
        <is>
          <t>Service</t>
        </is>
      </c>
      <c r="C7" t="inlineStr">
        <is>
          <t>Flight Authorization / U-Plan Service</t>
        </is>
      </c>
      <c r="D7" t="n">
        <v>9</v>
      </c>
      <c r="E7" t="n">
        <v>6</v>
      </c>
      <c r="F7" t="n">
        <v>8</v>
      </c>
      <c r="G7" t="n">
        <v>8</v>
      </c>
      <c r="H7" t="n">
        <v>7</v>
      </c>
      <c r="I7" t="n">
        <v>5</v>
      </c>
      <c r="J7" s="2">
        <f>(SUMPRODUCT(1+(4/9)*(D7:H7-1))+I7)/6</f>
        <v/>
      </c>
      <c r="K7">
        <f>IF(J7&lt;=1.8,"Minimal",IF(J7&lt;=2.6,"Low",IF(J7&lt;=3.4,"Medium",IF(J7&lt;=4.2,"High","Critical"))))</f>
        <v/>
      </c>
      <c r="L7" t="n">
        <v>4.7</v>
      </c>
      <c r="M7" s="2">
        <f>ROUND(J7-L7,2)</f>
        <v/>
      </c>
      <c r="N7" t="inlineStr">
        <is>
          <t>Weak</t>
        </is>
      </c>
    </row>
    <row r="8">
      <c r="A8" t="inlineStr">
        <is>
          <t>SVC-04</t>
        </is>
      </c>
      <c r="B8" t="inlineStr">
        <is>
          <t>Service</t>
        </is>
      </c>
      <c r="C8" t="inlineStr">
        <is>
          <t>API Gateway (Service Layer)</t>
        </is>
      </c>
      <c r="D8" t="n">
        <v>8</v>
      </c>
      <c r="E8" t="n">
        <v>7</v>
      </c>
      <c r="F8" t="n">
        <v>7</v>
      </c>
      <c r="G8" t="n">
        <v>8</v>
      </c>
      <c r="H8" t="n">
        <v>7</v>
      </c>
      <c r="I8" t="n">
        <v>4</v>
      </c>
      <c r="J8" s="2">
        <f>(SUMPRODUCT(1+(4/9)*(D8:H8-1))+I8)/6</f>
        <v/>
      </c>
      <c r="K8">
        <f>IF(J8&lt;=1.8,"Minimal",IF(J8&lt;=2.6,"Low",IF(J8&lt;=3.4,"Medium",IF(J8&lt;=4.2,"High","Critical"))))</f>
        <v/>
      </c>
      <c r="L8" t="n">
        <v>4.3</v>
      </c>
      <c r="M8" s="2">
        <f>ROUND(J8-L8,2)</f>
        <v/>
      </c>
      <c r="N8" t="inlineStr">
        <is>
          <t>Weak</t>
        </is>
      </c>
    </row>
    <row r="9">
      <c r="A9" t="inlineStr">
        <is>
          <t>SVC-05</t>
        </is>
      </c>
      <c r="B9" t="inlineStr">
        <is>
          <t>Service</t>
        </is>
      </c>
      <c r="C9" t="inlineStr">
        <is>
          <t>Geo-Awareness Service (USSP)</t>
        </is>
      </c>
      <c r="D9" t="n">
        <v>7</v>
      </c>
      <c r="E9" t="n">
        <v>6</v>
      </c>
      <c r="F9" t="n">
        <v>7</v>
      </c>
      <c r="G9" t="n">
        <v>7</v>
      </c>
      <c r="H9" t="n">
        <v>7</v>
      </c>
      <c r="I9" t="n">
        <v>3</v>
      </c>
      <c r="J9" s="2">
        <f>(SUMPRODUCT(1+(4/9)*(D9:H9-1))+I9)/6</f>
        <v/>
      </c>
      <c r="K9">
        <f>IF(J9&lt;=1.8,"Minimal",IF(J9&lt;=2.6,"Low",IF(J9&lt;=3.4,"Medium",IF(J9&lt;=4.2,"High","Critical"))))</f>
        <v/>
      </c>
      <c r="L9" t="n">
        <v>3.8</v>
      </c>
      <c r="M9" s="2">
        <f>ROUND(J9-L9,2)</f>
        <v/>
      </c>
      <c r="N9" t="inlineStr">
        <is>
          <t>Moderate</t>
        </is>
      </c>
    </row>
    <row r="10">
      <c r="A10" t="inlineStr">
        <is>
          <t>DAT-01</t>
        </is>
      </c>
      <c r="B10" t="inlineStr">
        <is>
          <t>Data</t>
        </is>
      </c>
      <c r="C10" t="inlineStr">
        <is>
          <t>Geo-Awareness Database</t>
        </is>
      </c>
      <c r="D10" t="n">
        <v>9</v>
      </c>
      <c r="E10" t="n">
        <v>8</v>
      </c>
      <c r="F10" t="n">
        <v>7</v>
      </c>
      <c r="G10" t="n">
        <v>8</v>
      </c>
      <c r="H10" t="n">
        <v>8</v>
      </c>
      <c r="I10" t="n">
        <v>4</v>
      </c>
      <c r="J10" s="2">
        <f>(SUMPRODUCT(1+(4/9)*(D10:H10-1))+I10)/6</f>
        <v/>
      </c>
      <c r="K10">
        <f>IF(J10&lt;=1.8,"Minimal",IF(J10&lt;=2.6,"Low",IF(J10&lt;=3.4,"Medium",IF(J10&lt;=4.2,"High","Critical"))))</f>
        <v/>
      </c>
      <c r="L10" t="n">
        <v>4.8</v>
      </c>
      <c r="M10" s="2">
        <f>ROUND(J10-L10,2)</f>
        <v/>
      </c>
      <c r="N10" t="inlineStr">
        <is>
          <t>Weak</t>
        </is>
      </c>
    </row>
    <row r="11">
      <c r="A11" t="inlineStr">
        <is>
          <t>DAT-02</t>
        </is>
      </c>
      <c r="B11" t="inlineStr">
        <is>
          <t>Data</t>
        </is>
      </c>
      <c r="C11" t="inlineStr">
        <is>
          <t>CIS / Single Source of Truth (SSOT)</t>
        </is>
      </c>
      <c r="D11" t="n">
        <v>9</v>
      </c>
      <c r="E11" t="n">
        <v>7</v>
      </c>
      <c r="F11" t="n">
        <v>8</v>
      </c>
      <c r="G11" t="n">
        <v>8</v>
      </c>
      <c r="H11" t="n">
        <v>8</v>
      </c>
      <c r="I11" t="n">
        <v>5</v>
      </c>
      <c r="J11" s="2">
        <f>(SUMPRODUCT(1+(4/9)*(D11:H11-1))+I11)/6</f>
        <v/>
      </c>
      <c r="K11">
        <f>IF(J11&lt;=1.8,"Minimal",IF(J11&lt;=2.6,"Low",IF(J11&lt;=3.4,"Medium",IF(J11&lt;=4.2,"High","Critical"))))</f>
        <v/>
      </c>
      <c r="L11" t="n">
        <v>4.8</v>
      </c>
      <c r="M11" s="2">
        <f>ROUND(J11-L11,2)</f>
        <v/>
      </c>
      <c r="N11" t="inlineStr">
        <is>
          <t>Strong</t>
        </is>
      </c>
    </row>
    <row r="12">
      <c r="A12" t="inlineStr">
        <is>
          <t>DAT-03</t>
        </is>
      </c>
      <c r="B12" t="inlineStr">
        <is>
          <t>Data</t>
        </is>
      </c>
      <c r="C12" t="inlineStr">
        <is>
          <t>Traffic Data &amp; Weather Services</t>
        </is>
      </c>
      <c r="D12" t="n">
        <v>7</v>
      </c>
      <c r="E12" t="n">
        <v>6</v>
      </c>
      <c r="F12" t="n">
        <v>6</v>
      </c>
      <c r="G12" t="n">
        <v>7</v>
      </c>
      <c r="H12" t="n">
        <v>7</v>
      </c>
      <c r="I12" t="n">
        <v>3</v>
      </c>
      <c r="J12" s="2">
        <f>(SUMPRODUCT(1+(4/9)*(D12:H12-1))+I12)/6</f>
        <v/>
      </c>
      <c r="K12">
        <f>IF(J12&lt;=1.8,"Minimal",IF(J12&lt;=2.6,"Low",IF(J12&lt;=3.4,"Medium",IF(J12&lt;=4.2,"High","Critical"))))</f>
        <v/>
      </c>
      <c r="L12" t="n">
        <v>3.6</v>
      </c>
      <c r="M12" s="2">
        <f>ROUND(J12-L12,2)</f>
        <v/>
      </c>
      <c r="N12" t="inlineStr">
        <is>
          <t>Moderate</t>
        </is>
      </c>
    </row>
    <row r="13">
      <c r="A13" t="inlineStr">
        <is>
          <t>DAT-04</t>
        </is>
      </c>
      <c r="B13" t="inlineStr">
        <is>
          <t>Data</t>
        </is>
      </c>
      <c r="C13" t="inlineStr">
        <is>
          <t>Logs &amp; Audit Trails</t>
        </is>
      </c>
      <c r="D13" t="n">
        <v>8</v>
      </c>
      <c r="E13" t="n">
        <v>7</v>
      </c>
      <c r="F13" t="n">
        <v>6</v>
      </c>
      <c r="G13" t="n">
        <v>8</v>
      </c>
      <c r="H13" t="n">
        <v>7</v>
      </c>
      <c r="I13" t="n">
        <v>3</v>
      </c>
      <c r="J13" s="2">
        <f>(SUMPRODUCT(1+(4/9)*(D13:H13-1))+I13)/6</f>
        <v/>
      </c>
      <c r="K13">
        <f>IF(J13&lt;=1.8,"Minimal",IF(J13&lt;=2.6,"Low",IF(J13&lt;=3.4,"Medium",IF(J13&lt;=4.2,"High","Critical"))))</f>
        <v/>
      </c>
      <c r="L13" t="n">
        <v>4</v>
      </c>
      <c r="M13" s="2">
        <f>ROUND(J13-L13,2)</f>
        <v/>
      </c>
      <c r="N13" t="inlineStr">
        <is>
          <t>Weak</t>
        </is>
      </c>
    </row>
    <row r="14">
      <c r="A14" t="inlineStr">
        <is>
          <t>DAT-05</t>
        </is>
      </c>
      <c r="B14" t="inlineStr">
        <is>
          <t>Data</t>
        </is>
      </c>
      <c r="C14" t="inlineStr">
        <is>
          <t>Data Layer API Gateway</t>
        </is>
      </c>
      <c r="D14" t="n">
        <v>8</v>
      </c>
      <c r="E14" t="n">
        <v>7</v>
      </c>
      <c r="F14" t="n">
        <v>7</v>
      </c>
      <c r="G14" t="n">
        <v>8</v>
      </c>
      <c r="H14" t="n">
        <v>8</v>
      </c>
      <c r="I14" t="n">
        <v>3</v>
      </c>
      <c r="J14" s="2">
        <f>(SUMPRODUCT(1+(4/9)*(D14:H14-1))+I14)/6</f>
        <v/>
      </c>
      <c r="K14">
        <f>IF(J14&lt;=1.8,"Minimal",IF(J14&lt;=2.6,"Low",IF(J14&lt;=3.4,"Medium",IF(J14&lt;=4.2,"High","Critical"))))</f>
        <v/>
      </c>
      <c r="L14" t="n">
        <v>4.2</v>
      </c>
      <c r="M14" s="2">
        <f>ROUND(J14-L14,2)</f>
        <v/>
      </c>
      <c r="N14" t="inlineStr">
        <is>
          <t>Weak</t>
        </is>
      </c>
    </row>
    <row r="15">
      <c r="A15" t="inlineStr">
        <is>
          <t>DAT-06</t>
        </is>
      </c>
      <c r="B15" t="inlineStr">
        <is>
          <t>Data</t>
        </is>
      </c>
      <c r="C15" t="inlineStr">
        <is>
          <t>Database Server</t>
        </is>
      </c>
      <c r="D15" t="n">
        <v>9</v>
      </c>
      <c r="E15" t="n">
        <v>7</v>
      </c>
      <c r="F15" t="n">
        <v>8</v>
      </c>
      <c r="G15" t="n">
        <v>8</v>
      </c>
      <c r="H15" t="n">
        <v>9</v>
      </c>
      <c r="I15" t="n">
        <v>4</v>
      </c>
      <c r="J15" s="2">
        <f>(SUMPRODUCT(1+(4/9)*(D15:H15-1))+I15)/6</f>
        <v/>
      </c>
      <c r="K15">
        <f>IF(J15&lt;=1.8,"Minimal",IF(J15&lt;=2.6,"Low",IF(J15&lt;=3.4,"Medium",IF(J15&lt;=4.2,"High","Critical"))))</f>
        <v/>
      </c>
      <c r="L15" t="n">
        <v>4.7</v>
      </c>
      <c r="M15" s="2">
        <f>ROUND(J15-L15,2)</f>
        <v/>
      </c>
      <c r="N15" t="inlineStr">
        <is>
          <t>Weak</t>
        </is>
      </c>
    </row>
    <row r="16">
      <c r="A16" t="inlineStr">
        <is>
          <t>INF-01</t>
        </is>
      </c>
      <c r="B16" t="inlineStr">
        <is>
          <t>Infrastructure</t>
        </is>
      </c>
      <c r="C16" t="inlineStr">
        <is>
          <t>GNSS / Navigation Sources</t>
        </is>
      </c>
      <c r="D16" t="n">
        <v>9</v>
      </c>
      <c r="E16" t="n">
        <v>7</v>
      </c>
      <c r="F16" t="n">
        <v>7</v>
      </c>
      <c r="G16" t="n">
        <v>8</v>
      </c>
      <c r="H16" t="n">
        <v>6</v>
      </c>
      <c r="I16" t="n">
        <v>4</v>
      </c>
      <c r="J16" s="2">
        <f>(SUMPRODUCT(1+(4/9)*(D16:H16-1))+I16)/6</f>
        <v/>
      </c>
      <c r="K16">
        <f>IF(J16&lt;=1.8,"Minimal",IF(J16&lt;=2.6,"Low",IF(J16&lt;=3.4,"Medium",IF(J16&lt;=4.2,"High","Critical"))))</f>
        <v/>
      </c>
      <c r="L16" t="n">
        <v>4.6</v>
      </c>
      <c r="M16" s="2">
        <f>ROUND(J16-L16,2)</f>
        <v/>
      </c>
      <c r="N16" t="inlineStr">
        <is>
          <t>Strong</t>
        </is>
      </c>
    </row>
    <row r="17">
      <c r="A17" t="inlineStr">
        <is>
          <t>INF-02</t>
        </is>
      </c>
      <c r="B17" t="inlineStr">
        <is>
          <t>Infrastructure</t>
        </is>
      </c>
      <c r="C17" t="inlineStr">
        <is>
          <t>Communication Networks (C2/VHF/CNSS)</t>
        </is>
      </c>
      <c r="D17" t="n">
        <v>10</v>
      </c>
      <c r="E17" t="n">
        <v>8</v>
      </c>
      <c r="F17" t="n">
        <v>8</v>
      </c>
      <c r="G17" t="n">
        <v>9</v>
      </c>
      <c r="H17" t="n">
        <v>7</v>
      </c>
      <c r="I17" t="n">
        <v>5</v>
      </c>
      <c r="J17" s="2">
        <f>(SUMPRODUCT(1+(4/9)*(D17:H17-1))+I17)/6</f>
        <v/>
      </c>
      <c r="K17">
        <f>IF(J17&lt;=1.8,"Minimal",IF(J17&lt;=2.6,"Low",IF(J17&lt;=3.4,"Medium",IF(J17&lt;=4.2,"High","Critical"))))</f>
        <v/>
      </c>
      <c r="L17" t="n">
        <v>5</v>
      </c>
      <c r="M17" s="2">
        <f>ROUND(J17-L17,2)</f>
        <v/>
      </c>
      <c r="N17" t="inlineStr">
        <is>
          <t>Strong</t>
        </is>
      </c>
    </row>
    <row r="18">
      <c r="A18" t="inlineStr">
        <is>
          <t>INF-03</t>
        </is>
      </c>
      <c r="B18" t="inlineStr">
        <is>
          <t>Infrastructure</t>
        </is>
      </c>
      <c r="C18" t="inlineStr">
        <is>
          <t>UAS / Drone Hardware</t>
        </is>
      </c>
      <c r="D18" t="n">
        <v>9</v>
      </c>
      <c r="E18" t="n">
        <v>6</v>
      </c>
      <c r="F18" t="n">
        <v>7</v>
      </c>
      <c r="G18" t="n">
        <v>7</v>
      </c>
      <c r="H18" t="n">
        <v>5</v>
      </c>
      <c r="I18" t="n">
        <v>4</v>
      </c>
      <c r="J18" s="2">
        <f>(SUMPRODUCT(1+(4/9)*(D18:H18-1))+I18)/6</f>
        <v/>
      </c>
      <c r="K18">
        <f>IF(J18&lt;=1.8,"Minimal",IF(J18&lt;=2.6,"Low",IF(J18&lt;=3.4,"Medium",IF(J18&lt;=4.2,"High","Critical"))))</f>
        <v/>
      </c>
      <c r="L18" t="n">
        <v>3.9</v>
      </c>
      <c r="M18" s="2">
        <f>ROUND(J18-L18,2)</f>
        <v/>
      </c>
      <c r="N18" t="inlineStr">
        <is>
          <t>Moderate</t>
        </is>
      </c>
    </row>
    <row r="19">
      <c r="A19" t="inlineStr">
        <is>
          <t>INF-04</t>
        </is>
      </c>
      <c r="B19" t="inlineStr">
        <is>
          <t>Infrastructure</t>
        </is>
      </c>
      <c r="C19" t="inlineStr">
        <is>
          <t>Power &amp; Infrastructure</t>
        </is>
      </c>
      <c r="D19" t="n">
        <v>8</v>
      </c>
      <c r="E19" t="n">
        <v>4</v>
      </c>
      <c r="F19" t="n">
        <v>5</v>
      </c>
      <c r="G19" t="n">
        <v>8</v>
      </c>
      <c r="H19" t="n">
        <v>4</v>
      </c>
      <c r="I19" t="n">
        <v>3</v>
      </c>
      <c r="J19" s="2">
        <f>(SUMPRODUCT(1+(4/9)*(D19:H19-1))+I19)/6</f>
        <v/>
      </c>
      <c r="K19">
        <f>IF(J19&lt;=1.8,"Minimal",IF(J19&lt;=2.6,"Low",IF(J19&lt;=3.4,"Medium",IF(J19&lt;=4.2,"High","Critical"))))</f>
        <v/>
      </c>
      <c r="L19" t="n">
        <v>3.2</v>
      </c>
      <c r="M19" s="2">
        <f>ROUND(J19-L19,2)</f>
        <v/>
      </c>
      <c r="N19" t="inlineStr">
        <is>
          <t>Weak</t>
        </is>
      </c>
    </row>
    <row r="20">
      <c r="A20" t="inlineStr">
        <is>
          <t>INF-05</t>
        </is>
      </c>
      <c r="B20" t="inlineStr">
        <is>
          <t>Infrastructure</t>
        </is>
      </c>
      <c r="C20" t="inlineStr">
        <is>
          <t>Sensors &amp; Ground Stations</t>
        </is>
      </c>
      <c r="D20" t="n">
        <v>7</v>
      </c>
      <c r="E20" t="n">
        <v>8</v>
      </c>
      <c r="F20" t="n">
        <v>7</v>
      </c>
      <c r="G20" t="n">
        <v>7</v>
      </c>
      <c r="H20" t="n">
        <v>6</v>
      </c>
      <c r="I20" t="n">
        <v>4</v>
      </c>
      <c r="J20" s="2">
        <f>(SUMPRODUCT(1+(4/9)*(D20:H20-1))+I20)/6</f>
        <v/>
      </c>
      <c r="K20">
        <f>IF(J20&lt;=1.8,"Minimal",IF(J20&lt;=2.6,"Low",IF(J20&lt;=3.4,"Medium",IF(J20&lt;=4.2,"High","Critical"))))</f>
        <v/>
      </c>
      <c r="L20" t="n">
        <v>4.2</v>
      </c>
      <c r="M20" s="2">
        <f>ROUND(J20-L20,2)</f>
        <v/>
      </c>
      <c r="N20" t="inlineStr">
        <is>
          <t>Strong</t>
        </is>
      </c>
    </row>
    <row r="21">
      <c r="A21" t="inlineStr">
        <is>
          <t>INF-06</t>
        </is>
      </c>
      <c r="B21" t="inlineStr">
        <is>
          <t>Infrastructure</t>
        </is>
      </c>
      <c r="C21" t="inlineStr">
        <is>
          <t>Vertiports &amp; Ground Facilities</t>
        </is>
      </c>
      <c r="D21" t="n">
        <v>8</v>
      </c>
      <c r="E21" t="n">
        <v>3</v>
      </c>
      <c r="F21" t="n">
        <v>6</v>
      </c>
      <c r="G21" t="n">
        <v>8</v>
      </c>
      <c r="H21" t="n">
        <v>5</v>
      </c>
      <c r="I21" t="n">
        <v>3</v>
      </c>
      <c r="J21" s="2">
        <f>(SUMPRODUCT(1+(4/9)*(D21:H21-1))+I21)/6</f>
        <v/>
      </c>
      <c r="K21">
        <f>IF(J21&lt;=1.8,"Minimal",IF(J21&lt;=2.6,"Low",IF(J21&lt;=3.4,"Medium",IF(J21&lt;=4.2,"High","Critical"))))</f>
        <v/>
      </c>
      <c r="L21" t="n">
        <v>3.4</v>
      </c>
      <c r="M21" s="2">
        <f>ROUND(J21-L21,2)</f>
        <v/>
      </c>
      <c r="N21" t="inlineStr">
        <is>
          <t>Moderate</t>
        </is>
      </c>
    </row>
    <row r="22">
      <c r="A22" t="inlineStr">
        <is>
          <t>INF-07</t>
        </is>
      </c>
      <c r="B22" t="inlineStr">
        <is>
          <t>Infrastructure</t>
        </is>
      </c>
      <c r="C22" t="inlineStr">
        <is>
          <t>Supply Chain &amp; Maintenance</t>
        </is>
      </c>
      <c r="D22" t="n">
        <v>10</v>
      </c>
      <c r="E22" t="n">
        <v>6</v>
      </c>
      <c r="F22" t="n">
        <v>7</v>
      </c>
      <c r="G22" t="n">
        <v>9</v>
      </c>
      <c r="H22" t="n">
        <v>7</v>
      </c>
      <c r="I22" t="n">
        <v>5</v>
      </c>
      <c r="J22" s="2">
        <f>(SUMPRODUCT(1+(4/9)*(D22:H22-1))+I22)/6</f>
        <v/>
      </c>
      <c r="K22">
        <f>IF(J22&lt;=1.8,"Minimal",IF(J22&lt;=2.6,"Low",IF(J22&lt;=3.4,"Medium",IF(J22&lt;=4.2,"High","Critical"))))</f>
        <v/>
      </c>
      <c r="L22" t="n">
        <v>4.7</v>
      </c>
      <c r="M22" s="2">
        <f>ROUND(J22-L22,2)</f>
        <v/>
      </c>
      <c r="N22" t="inlineStr">
        <is>
          <t>Weak</t>
        </is>
      </c>
    </row>
    <row r="24">
      <c r="A24" t="inlineStr">
        <is>
          <t>Eq. 1: DREAD-S = (sum over D,R,E,A,D2 of [1 + 4/9 (x-1)] + S) / 6, range 1-5. Bands: Minimal &lt;=1.8, Low &lt;=2.6, Medium &lt;=3.4, High &lt;=4.2, Critical &gt;4.2.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Source (compromised)</t>
        </is>
      </c>
      <c r="B1" s="1" t="inlineStr">
        <is>
          <t>Target (affected)</t>
        </is>
      </c>
      <c r="C1" s="1" t="inlineStr">
        <is>
          <t>Mechanism</t>
        </is>
      </c>
      <c r="D1" s="1" t="inlineStr">
        <is>
          <t>Basis</t>
        </is>
      </c>
      <c r="E1" s="1" t="inlineStr">
        <is>
          <t>Resolution rule</t>
        </is>
      </c>
    </row>
    <row r="2">
      <c r="A2" t="inlineStr">
        <is>
          <t>GOV-01</t>
        </is>
      </c>
      <c r="B2" t="inlineStr">
        <is>
          <t>DAT-04</t>
        </is>
      </c>
      <c r="C2" t="inlineStr">
        <is>
          <t>Oversight</t>
        </is>
      </c>
      <c r="D2" t="inlineStr">
        <is>
          <t>Footprint names asset</t>
        </is>
      </c>
      <c r="E2" t="inlineStr">
        <is>
          <t>N</t>
        </is>
      </c>
    </row>
    <row r="3">
      <c r="A3" t="inlineStr">
        <is>
          <t>GOV-01</t>
        </is>
      </c>
      <c r="B3" t="inlineStr">
        <is>
          <t>SVC-02</t>
        </is>
      </c>
      <c r="C3" t="inlineStr">
        <is>
          <t>Oversight</t>
        </is>
      </c>
      <c r="D3" t="inlineStr">
        <is>
          <t>Mapped by rule</t>
        </is>
      </c>
      <c r="E3" t="inlineStr">
        <is>
          <t>R4</t>
        </is>
      </c>
    </row>
    <row r="4">
      <c r="A4" t="inlineStr">
        <is>
          <t>GOV-03</t>
        </is>
      </c>
      <c r="B4" t="inlineStr">
        <is>
          <t>DAT-06</t>
        </is>
      </c>
      <c r="C4" t="inlineStr">
        <is>
          <t>Integrity / trust</t>
        </is>
      </c>
      <c r="D4" t="inlineStr">
        <is>
          <t>Mapped by rule</t>
        </is>
      </c>
      <c r="E4" t="inlineStr">
        <is>
          <t>R5</t>
        </is>
      </c>
    </row>
    <row r="5">
      <c r="A5" t="inlineStr">
        <is>
          <t>SVC-01</t>
        </is>
      </c>
      <c r="B5" t="inlineStr">
        <is>
          <t>GOV-01</t>
        </is>
      </c>
      <c r="C5" t="inlineStr">
        <is>
          <t>Oversight</t>
        </is>
      </c>
      <c r="D5" t="inlineStr">
        <is>
          <t>Mapped by rule</t>
        </is>
      </c>
      <c r="E5" t="inlineStr">
        <is>
          <t>R1</t>
        </is>
      </c>
    </row>
    <row r="6">
      <c r="A6" t="inlineStr">
        <is>
          <t>SVC-01</t>
        </is>
      </c>
      <c r="B6" t="inlineStr">
        <is>
          <t>DAT-02</t>
        </is>
      </c>
      <c r="C6" t="inlineStr">
        <is>
          <t>Integrity / trust</t>
        </is>
      </c>
      <c r="D6" t="inlineStr">
        <is>
          <t>Mapped by rule</t>
        </is>
      </c>
      <c r="E6" t="inlineStr">
        <is>
          <t>R3</t>
        </is>
      </c>
    </row>
    <row r="7">
      <c r="A7" t="inlineStr">
        <is>
          <t>SVC-02</t>
        </is>
      </c>
      <c r="B7" t="inlineStr">
        <is>
          <t>DAT-02</t>
        </is>
      </c>
      <c r="C7" t="inlineStr">
        <is>
          <t>Integrity / trust</t>
        </is>
      </c>
      <c r="D7" t="inlineStr">
        <is>
          <t>Mapped by rule</t>
        </is>
      </c>
      <c r="E7" t="inlineStr">
        <is>
          <t>R3</t>
        </is>
      </c>
    </row>
    <row r="8">
      <c r="A8" t="inlineStr">
        <is>
          <t>SVC-02</t>
        </is>
      </c>
      <c r="B8" t="inlineStr">
        <is>
          <t>GOV-01</t>
        </is>
      </c>
      <c r="C8" t="inlineStr">
        <is>
          <t>Oversight</t>
        </is>
      </c>
      <c r="D8" t="inlineStr">
        <is>
          <t>Mapped by rule</t>
        </is>
      </c>
      <c r="E8" t="inlineStr">
        <is>
          <t>R1</t>
        </is>
      </c>
    </row>
    <row r="9">
      <c r="A9" t="inlineStr">
        <is>
          <t>SVC-03</t>
        </is>
      </c>
      <c r="B9" t="inlineStr">
        <is>
          <t>DAT-02</t>
        </is>
      </c>
      <c r="C9" t="inlineStr">
        <is>
          <t>Integrity / trust</t>
        </is>
      </c>
      <c r="D9" t="inlineStr">
        <is>
          <t>Mapped by rule</t>
        </is>
      </c>
      <c r="E9" t="inlineStr">
        <is>
          <t>R3</t>
        </is>
      </c>
    </row>
    <row r="10">
      <c r="A10" t="inlineStr">
        <is>
          <t>SVC-03</t>
        </is>
      </c>
      <c r="B10" t="inlineStr">
        <is>
          <t>GOV-01</t>
        </is>
      </c>
      <c r="C10" t="inlineStr">
        <is>
          <t>Oversight</t>
        </is>
      </c>
      <c r="D10" t="inlineStr">
        <is>
          <t>Mapped by rule</t>
        </is>
      </c>
      <c r="E10" t="inlineStr">
        <is>
          <t>R1</t>
        </is>
      </c>
    </row>
    <row r="11">
      <c r="A11" t="inlineStr">
        <is>
          <t>SVC-04</t>
        </is>
      </c>
      <c r="B11" t="inlineStr">
        <is>
          <t>DAT-05</t>
        </is>
      </c>
      <c r="C11" t="inlineStr">
        <is>
          <t>Availability</t>
        </is>
      </c>
      <c r="D11" t="inlineStr">
        <is>
          <t>Mapped by rule</t>
        </is>
      </c>
      <c r="E11" t="inlineStr">
        <is>
          <t>R5</t>
        </is>
      </c>
    </row>
    <row r="12">
      <c r="A12" t="inlineStr">
        <is>
          <t>SVC-04</t>
        </is>
      </c>
      <c r="B12" t="inlineStr">
        <is>
          <t>GOV-01</t>
        </is>
      </c>
      <c r="C12" t="inlineStr">
        <is>
          <t>Oversight</t>
        </is>
      </c>
      <c r="D12" t="inlineStr">
        <is>
          <t>Mapped by rule</t>
        </is>
      </c>
      <c r="E12" t="inlineStr">
        <is>
          <t>R1</t>
        </is>
      </c>
    </row>
    <row r="13">
      <c r="A13" t="inlineStr">
        <is>
          <t>SVC-04</t>
        </is>
      </c>
      <c r="B13" t="inlineStr">
        <is>
          <t>SVC-03</t>
        </is>
      </c>
      <c r="C13" t="inlineStr">
        <is>
          <t>Availability</t>
        </is>
      </c>
      <c r="D13" t="inlineStr">
        <is>
          <t>Scenario</t>
        </is>
      </c>
      <c r="E13" t="inlineStr">
        <is>
          <t>S</t>
        </is>
      </c>
    </row>
    <row r="14">
      <c r="A14" t="inlineStr">
        <is>
          <t>SVC-05</t>
        </is>
      </c>
      <c r="B14" t="inlineStr">
        <is>
          <t>DAT-01</t>
        </is>
      </c>
      <c r="C14" t="inlineStr">
        <is>
          <t>Integrity / trust</t>
        </is>
      </c>
      <c r="D14" t="inlineStr">
        <is>
          <t>Mapped by rule</t>
        </is>
      </c>
      <c r="E14" t="inlineStr">
        <is>
          <t>R5</t>
        </is>
      </c>
    </row>
    <row r="15">
      <c r="A15" t="inlineStr">
        <is>
          <t>SVC-05</t>
        </is>
      </c>
      <c r="B15" t="inlineStr">
        <is>
          <t>GOV-01</t>
        </is>
      </c>
      <c r="C15" t="inlineStr">
        <is>
          <t>Oversight</t>
        </is>
      </c>
      <c r="D15" t="inlineStr">
        <is>
          <t>Mapped by rule</t>
        </is>
      </c>
      <c r="E15" t="inlineStr">
        <is>
          <t>R1</t>
        </is>
      </c>
    </row>
    <row r="16">
      <c r="A16" t="inlineStr">
        <is>
          <t>SVC-05</t>
        </is>
      </c>
      <c r="B16" t="inlineStr">
        <is>
          <t>SVC-03</t>
        </is>
      </c>
      <c r="C16" t="inlineStr">
        <is>
          <t>Integrity / trust</t>
        </is>
      </c>
      <c r="D16" t="inlineStr">
        <is>
          <t>Footprint names asset</t>
        </is>
      </c>
      <c r="E16" t="inlineStr">
        <is>
          <t>N</t>
        </is>
      </c>
    </row>
    <row r="17">
      <c r="A17" t="inlineStr">
        <is>
          <t>DAT-01</t>
        </is>
      </c>
      <c r="B17" t="inlineStr">
        <is>
          <t>SVC-05</t>
        </is>
      </c>
      <c r="C17" t="inlineStr">
        <is>
          <t>Integrity / trust</t>
        </is>
      </c>
      <c r="D17" t="inlineStr">
        <is>
          <t>Footprint names asset</t>
        </is>
      </c>
      <c r="E17" t="inlineStr">
        <is>
          <t>N</t>
        </is>
      </c>
    </row>
    <row r="18">
      <c r="A18" t="inlineStr">
        <is>
          <t>DAT-01</t>
        </is>
      </c>
      <c r="B18" t="inlineStr">
        <is>
          <t>SVC-03</t>
        </is>
      </c>
      <c r="C18" t="inlineStr">
        <is>
          <t>Integrity / trust</t>
        </is>
      </c>
      <c r="D18" t="inlineStr">
        <is>
          <t>Footprint names asset</t>
        </is>
      </c>
      <c r="E18" t="inlineStr">
        <is>
          <t>N</t>
        </is>
      </c>
    </row>
    <row r="19">
      <c r="A19" t="inlineStr">
        <is>
          <t>DAT-02</t>
        </is>
      </c>
      <c r="B19" t="inlineStr">
        <is>
          <t>SVC-01</t>
        </is>
      </c>
      <c r="C19" t="inlineStr">
        <is>
          <t>Integrity / trust</t>
        </is>
      </c>
      <c r="D19" t="inlineStr">
        <is>
          <t>Mapped by rule</t>
        </is>
      </c>
      <c r="E19" t="inlineStr">
        <is>
          <t>R2</t>
        </is>
      </c>
    </row>
    <row r="20">
      <c r="A20" t="inlineStr">
        <is>
          <t>DAT-02</t>
        </is>
      </c>
      <c r="B20" t="inlineStr">
        <is>
          <t>SVC-02</t>
        </is>
      </c>
      <c r="C20" t="inlineStr">
        <is>
          <t>Integrity / trust</t>
        </is>
      </c>
      <c r="D20" t="inlineStr">
        <is>
          <t>Mapped by rule</t>
        </is>
      </c>
      <c r="E20" t="inlineStr">
        <is>
          <t>R2</t>
        </is>
      </c>
    </row>
    <row r="21">
      <c r="A21" t="inlineStr">
        <is>
          <t>DAT-02</t>
        </is>
      </c>
      <c r="B21" t="inlineStr">
        <is>
          <t>SVC-03</t>
        </is>
      </c>
      <c r="C21" t="inlineStr">
        <is>
          <t>Integrity / trust</t>
        </is>
      </c>
      <c r="D21" t="inlineStr">
        <is>
          <t>Mapped by rule</t>
        </is>
      </c>
      <c r="E21" t="inlineStr">
        <is>
          <t>R2</t>
        </is>
      </c>
    </row>
    <row r="22">
      <c r="A22" t="inlineStr">
        <is>
          <t>DAT-02</t>
        </is>
      </c>
      <c r="B22" t="inlineStr">
        <is>
          <t>SVC-05</t>
        </is>
      </c>
      <c r="C22" t="inlineStr">
        <is>
          <t>Integrity / trust</t>
        </is>
      </c>
      <c r="D22" t="inlineStr">
        <is>
          <t>Mapped by rule</t>
        </is>
      </c>
      <c r="E22" t="inlineStr">
        <is>
          <t>R2</t>
        </is>
      </c>
    </row>
    <row r="23">
      <c r="A23" t="inlineStr">
        <is>
          <t>DAT-02</t>
        </is>
      </c>
      <c r="B23" t="inlineStr">
        <is>
          <t>GOV-01</t>
        </is>
      </c>
      <c r="C23" t="inlineStr">
        <is>
          <t>Oversight</t>
        </is>
      </c>
      <c r="D23" t="inlineStr">
        <is>
          <t>Mapped by rule</t>
        </is>
      </c>
      <c r="E23" t="inlineStr">
        <is>
          <t>R1</t>
        </is>
      </c>
    </row>
    <row r="24">
      <c r="A24" t="inlineStr">
        <is>
          <t>DAT-03</t>
        </is>
      </c>
      <c r="B24" t="inlineStr">
        <is>
          <t>SVC-02</t>
        </is>
      </c>
      <c r="C24" t="inlineStr">
        <is>
          <t>Integrity / trust</t>
        </is>
      </c>
      <c r="D24" t="inlineStr">
        <is>
          <t>Footprint names asset</t>
        </is>
      </c>
      <c r="E24" t="inlineStr">
        <is>
          <t>N</t>
        </is>
      </c>
    </row>
    <row r="25">
      <c r="A25" t="inlineStr">
        <is>
          <t>DAT-03</t>
        </is>
      </c>
      <c r="B25" t="inlineStr">
        <is>
          <t>SVC-05</t>
        </is>
      </c>
      <c r="C25" t="inlineStr">
        <is>
          <t>Integrity / trust</t>
        </is>
      </c>
      <c r="D25" t="inlineStr">
        <is>
          <t>Footprint names asset</t>
        </is>
      </c>
      <c r="E25" t="inlineStr">
        <is>
          <t>N</t>
        </is>
      </c>
    </row>
    <row r="26">
      <c r="A26" t="inlineStr">
        <is>
          <t>DAT-04</t>
        </is>
      </c>
      <c r="B26" t="inlineStr">
        <is>
          <t>GOV-01</t>
        </is>
      </c>
      <c r="C26" t="inlineStr">
        <is>
          <t>Oversight</t>
        </is>
      </c>
      <c r="D26" t="inlineStr">
        <is>
          <t>Mapped by rule</t>
        </is>
      </c>
      <c r="E26" t="inlineStr">
        <is>
          <t>R1</t>
        </is>
      </c>
    </row>
    <row r="27">
      <c r="A27" t="inlineStr">
        <is>
          <t>DAT-04</t>
        </is>
      </c>
      <c r="B27" t="inlineStr">
        <is>
          <t>SVC-02</t>
        </is>
      </c>
      <c r="C27" t="inlineStr">
        <is>
          <t>Oversight</t>
        </is>
      </c>
      <c r="D27" t="inlineStr">
        <is>
          <t>Mapped by rule</t>
        </is>
      </c>
      <c r="E27" t="inlineStr">
        <is>
          <t>R4</t>
        </is>
      </c>
    </row>
    <row r="28">
      <c r="A28" t="inlineStr">
        <is>
          <t>DAT-05</t>
        </is>
      </c>
      <c r="B28" t="inlineStr">
        <is>
          <t>SVC-01</t>
        </is>
      </c>
      <c r="C28" t="inlineStr">
        <is>
          <t>Integrity / trust</t>
        </is>
      </c>
      <c r="D28" t="inlineStr">
        <is>
          <t>Mapped by rule</t>
        </is>
      </c>
      <c r="E28" t="inlineStr">
        <is>
          <t>R2</t>
        </is>
      </c>
    </row>
    <row r="29">
      <c r="A29" t="inlineStr">
        <is>
          <t>DAT-05</t>
        </is>
      </c>
      <c r="B29" t="inlineStr">
        <is>
          <t>SVC-02</t>
        </is>
      </c>
      <c r="C29" t="inlineStr">
        <is>
          <t>Integrity / trust</t>
        </is>
      </c>
      <c r="D29" t="inlineStr">
        <is>
          <t>Mapped by rule</t>
        </is>
      </c>
      <c r="E29" t="inlineStr">
        <is>
          <t>R2</t>
        </is>
      </c>
    </row>
    <row r="30">
      <c r="A30" t="inlineStr">
        <is>
          <t>DAT-05</t>
        </is>
      </c>
      <c r="B30" t="inlineStr">
        <is>
          <t>SVC-03</t>
        </is>
      </c>
      <c r="C30" t="inlineStr">
        <is>
          <t>Integrity / trust</t>
        </is>
      </c>
      <c r="D30" t="inlineStr">
        <is>
          <t>Mapped by rule</t>
        </is>
      </c>
      <c r="E30" t="inlineStr">
        <is>
          <t>R2</t>
        </is>
      </c>
    </row>
    <row r="31">
      <c r="A31" t="inlineStr">
        <is>
          <t>DAT-05</t>
        </is>
      </c>
      <c r="B31" t="inlineStr">
        <is>
          <t>SVC-05</t>
        </is>
      </c>
      <c r="C31" t="inlineStr">
        <is>
          <t>Integrity / trust</t>
        </is>
      </c>
      <c r="D31" t="inlineStr">
        <is>
          <t>Mapped by rule</t>
        </is>
      </c>
      <c r="E31" t="inlineStr">
        <is>
          <t>R2</t>
        </is>
      </c>
    </row>
    <row r="32">
      <c r="A32" t="inlineStr">
        <is>
          <t>DAT-06</t>
        </is>
      </c>
      <c r="B32" t="inlineStr">
        <is>
          <t>SVC-01</t>
        </is>
      </c>
      <c r="C32" t="inlineStr">
        <is>
          <t>Availability</t>
        </is>
      </c>
      <c r="D32" t="inlineStr">
        <is>
          <t>Mapped by rule</t>
        </is>
      </c>
      <c r="E32" t="inlineStr">
        <is>
          <t>R2</t>
        </is>
      </c>
    </row>
    <row r="33">
      <c r="A33" t="inlineStr">
        <is>
          <t>DAT-06</t>
        </is>
      </c>
      <c r="B33" t="inlineStr">
        <is>
          <t>SVC-02</t>
        </is>
      </c>
      <c r="C33" t="inlineStr">
        <is>
          <t>Availability</t>
        </is>
      </c>
      <c r="D33" t="inlineStr">
        <is>
          <t>Mapped by rule</t>
        </is>
      </c>
      <c r="E33" t="inlineStr">
        <is>
          <t>R2</t>
        </is>
      </c>
    </row>
    <row r="34">
      <c r="A34" t="inlineStr">
        <is>
          <t>DAT-06</t>
        </is>
      </c>
      <c r="B34" t="inlineStr">
        <is>
          <t>SVC-03</t>
        </is>
      </c>
      <c r="C34" t="inlineStr">
        <is>
          <t>Availability</t>
        </is>
      </c>
      <c r="D34" t="inlineStr">
        <is>
          <t>Mapped by rule</t>
        </is>
      </c>
      <c r="E34" t="inlineStr">
        <is>
          <t>R2</t>
        </is>
      </c>
    </row>
    <row r="35">
      <c r="A35" t="inlineStr">
        <is>
          <t>DAT-06</t>
        </is>
      </c>
      <c r="B35" t="inlineStr">
        <is>
          <t>SVC-05</t>
        </is>
      </c>
      <c r="C35" t="inlineStr">
        <is>
          <t>Availability</t>
        </is>
      </c>
      <c r="D35" t="inlineStr">
        <is>
          <t>Mapped by rule</t>
        </is>
      </c>
      <c r="E35" t="inlineStr">
        <is>
          <t>R2</t>
        </is>
      </c>
    </row>
    <row r="36">
      <c r="A36" t="inlineStr">
        <is>
          <t>INF-01</t>
        </is>
      </c>
      <c r="B36" t="inlineStr">
        <is>
          <t>SVC-05</t>
        </is>
      </c>
      <c r="C36" t="inlineStr">
        <is>
          <t>Integrity / trust</t>
        </is>
      </c>
      <c r="D36" t="inlineStr">
        <is>
          <t>Footprint names asset</t>
        </is>
      </c>
      <c r="E36" t="inlineStr">
        <is>
          <t>N</t>
        </is>
      </c>
    </row>
    <row r="37">
      <c r="A37" t="inlineStr">
        <is>
          <t>INF-01</t>
        </is>
      </c>
      <c r="B37" t="inlineStr">
        <is>
          <t>SVC-03</t>
        </is>
      </c>
      <c r="C37" t="inlineStr">
        <is>
          <t>Integrity / trust</t>
        </is>
      </c>
      <c r="D37" t="inlineStr">
        <is>
          <t>Footprint names asset</t>
        </is>
      </c>
      <c r="E37" t="inlineStr">
        <is>
          <t>N</t>
        </is>
      </c>
    </row>
    <row r="38">
      <c r="A38" t="inlineStr">
        <is>
          <t>INF-02</t>
        </is>
      </c>
      <c r="B38" t="inlineStr">
        <is>
          <t>SVC-03</t>
        </is>
      </c>
      <c r="C38" t="inlineStr">
        <is>
          <t>Availability</t>
        </is>
      </c>
      <c r="D38" t="inlineStr">
        <is>
          <t>Footprint names asset</t>
        </is>
      </c>
      <c r="E38" t="inlineStr">
        <is>
          <t>N</t>
        </is>
      </c>
    </row>
    <row r="39">
      <c r="A39" t="inlineStr">
        <is>
          <t>INF-02</t>
        </is>
      </c>
      <c r="B39" t="inlineStr">
        <is>
          <t>DAT-02</t>
        </is>
      </c>
      <c r="C39" t="inlineStr">
        <is>
          <t>Integrity / trust</t>
        </is>
      </c>
      <c r="D39" t="inlineStr">
        <is>
          <t>Mapped by rule</t>
        </is>
      </c>
      <c r="E39" t="inlineStr">
        <is>
          <t>R3</t>
        </is>
      </c>
    </row>
    <row r="40">
      <c r="A40" t="inlineStr">
        <is>
          <t>INF-03</t>
        </is>
      </c>
      <c r="B40" t="inlineStr">
        <is>
          <t>SVC-02</t>
        </is>
      </c>
      <c r="C40" t="inlineStr">
        <is>
          <t>Integrity / trust</t>
        </is>
      </c>
      <c r="D40" t="inlineStr">
        <is>
          <t>Footprint names asset</t>
        </is>
      </c>
      <c r="E40" t="inlineStr">
        <is>
          <t>N</t>
        </is>
      </c>
    </row>
    <row r="41">
      <c r="A41" t="inlineStr">
        <is>
          <t>INF-03</t>
        </is>
      </c>
      <c r="B41" t="inlineStr">
        <is>
          <t>DAT-02</t>
        </is>
      </c>
      <c r="C41" t="inlineStr">
        <is>
          <t>Integrity / trust</t>
        </is>
      </c>
      <c r="D41" t="inlineStr">
        <is>
          <t>Mapped by rule</t>
        </is>
      </c>
      <c r="E41" t="inlineStr">
        <is>
          <t>R3</t>
        </is>
      </c>
    </row>
    <row r="42">
      <c r="A42" t="inlineStr">
        <is>
          <t>INF-04</t>
        </is>
      </c>
      <c r="B42" t="inlineStr">
        <is>
          <t>SVC-04</t>
        </is>
      </c>
      <c r="C42" t="inlineStr">
        <is>
          <t>Availability</t>
        </is>
      </c>
      <c r="D42" t="inlineStr">
        <is>
          <t>Mapped by rule</t>
        </is>
      </c>
      <c r="E42" t="inlineStr">
        <is>
          <t>R5</t>
        </is>
      </c>
    </row>
    <row r="43">
      <c r="A43" t="inlineStr">
        <is>
          <t>INF-05</t>
        </is>
      </c>
      <c r="B43" t="inlineStr">
        <is>
          <t>DAT-02</t>
        </is>
      </c>
      <c r="C43" t="inlineStr">
        <is>
          <t>Integrity / trust</t>
        </is>
      </c>
      <c r="D43" t="inlineStr">
        <is>
          <t>Mapped by rule</t>
        </is>
      </c>
      <c r="E43" t="inlineStr">
        <is>
          <t>R3</t>
        </is>
      </c>
    </row>
    <row r="44">
      <c r="A44" t="inlineStr">
        <is>
          <t>INF-05</t>
        </is>
      </c>
      <c r="B44" t="inlineStr">
        <is>
          <t>SVC-02</t>
        </is>
      </c>
      <c r="C44" t="inlineStr">
        <is>
          <t>Integrity / trust</t>
        </is>
      </c>
      <c r="D44" t="inlineStr">
        <is>
          <t>Mapped by rule</t>
        </is>
      </c>
      <c r="E44" t="inlineStr">
        <is>
          <t>R4</t>
        </is>
      </c>
    </row>
    <row r="45">
      <c r="A45" t="inlineStr">
        <is>
          <t>INF-06</t>
        </is>
      </c>
      <c r="B45" t="inlineStr">
        <is>
          <t>SVC-02</t>
        </is>
      </c>
      <c r="C45" t="inlineStr">
        <is>
          <t>Availability</t>
        </is>
      </c>
      <c r="D45" t="inlineStr">
        <is>
          <t>Footprint names asset</t>
        </is>
      </c>
      <c r="E45" t="inlineStr">
        <is>
          <t>N</t>
        </is>
      </c>
    </row>
    <row r="46">
      <c r="A46" t="inlineStr">
        <is>
          <t>INF-06</t>
        </is>
      </c>
      <c r="B46" t="inlineStr">
        <is>
          <t>GOV-01</t>
        </is>
      </c>
      <c r="C46" t="inlineStr">
        <is>
          <t>Oversight</t>
        </is>
      </c>
      <c r="D46" t="inlineStr">
        <is>
          <t>Mapped by rule</t>
        </is>
      </c>
      <c r="E46" t="inlineStr">
        <is>
          <t>R1</t>
        </is>
      </c>
    </row>
    <row r="48">
      <c r="A48" t="inlineStr">
        <is>
          <t>GOV-02 and INF-07 declare reach into all layers (systemic entries, not listed as edges). GOV-03 also names document-management systems in the infrastructure layer, which resolve to no inventory asset.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S</t>
        </is>
      </c>
      <c r="D1" s="1" t="inlineStr">
        <is>
          <t>Reach at 1 hop</t>
        </is>
      </c>
      <c r="E1" s="1" t="inlineStr">
        <is>
          <t>Reach at 2 hops</t>
        </is>
      </c>
      <c r="F1" s="1" t="inlineStr">
        <is>
          <t>Reach at 3+ hops</t>
        </is>
      </c>
      <c r="G1" s="1" t="inlineStr">
        <is>
          <t>Total reach</t>
        </is>
      </c>
      <c r="H1" s="1" t="inlineStr">
        <is>
          <t>Hops to nearest S=5 asset</t>
        </is>
      </c>
      <c r="I1" s="1" t="inlineStr">
        <is>
          <t>S1 (max S within 1 hop)</t>
        </is>
      </c>
      <c r="J1" s="1" t="inlineStr">
        <is>
          <t>DREAD-S</t>
        </is>
      </c>
      <c r="K1" s="1" t="inlineStr">
        <is>
          <t>DREAD-S1</t>
        </is>
      </c>
      <c r="L1" s="1" t="inlineStr">
        <is>
          <t>Band</t>
        </is>
      </c>
      <c r="M1" s="1" t="inlineStr">
        <is>
          <t>Band (S1)</t>
        </is>
      </c>
    </row>
    <row r="2">
      <c r="A2" t="inlineStr">
        <is>
          <t>GOV-01</t>
        </is>
      </c>
      <c r="B2" t="inlineStr">
        <is>
          <t>Competent Authority Systems</t>
        </is>
      </c>
      <c r="C2" t="n">
        <v>2</v>
      </c>
      <c r="D2" t="n">
        <v>2</v>
      </c>
      <c r="E2" t="n">
        <v>1</v>
      </c>
      <c r="F2" t="n">
        <v>4</v>
      </c>
      <c r="G2" t="n">
        <v>7</v>
      </c>
      <c r="H2" t="n">
        <v>2</v>
      </c>
      <c r="I2" t="n">
        <v>4</v>
      </c>
      <c r="J2" t="n">
        <v>3.09</v>
      </c>
      <c r="K2" t="n">
        <v>3.43</v>
      </c>
      <c r="L2" t="inlineStr">
        <is>
          <t>Medium</t>
        </is>
      </c>
      <c r="M2" t="inlineStr">
        <is>
          <t>High</t>
        </is>
      </c>
    </row>
    <row r="3">
      <c r="A3" t="inlineStr">
        <is>
          <t>GOV-03</t>
        </is>
      </c>
      <c r="B3" t="inlineStr">
        <is>
          <t>Strategic Planning &amp; Decision Systems</t>
        </is>
      </c>
      <c r="C3" t="n">
        <v>2</v>
      </c>
      <c r="D3" t="n">
        <v>1</v>
      </c>
      <c r="E3" t="n">
        <v>4</v>
      </c>
      <c r="F3" t="n">
        <v>4</v>
      </c>
      <c r="G3" t="n">
        <v>9</v>
      </c>
      <c r="H3" t="n">
        <v>2</v>
      </c>
      <c r="I3" t="n">
        <v>4</v>
      </c>
      <c r="J3" t="n">
        <v>3.09</v>
      </c>
      <c r="K3" t="n">
        <v>3.43</v>
      </c>
      <c r="L3" t="inlineStr">
        <is>
          <t>Medium</t>
        </is>
      </c>
      <c r="M3" t="inlineStr">
        <is>
          <t>High</t>
        </is>
      </c>
    </row>
    <row r="4">
      <c r="A4" t="inlineStr">
        <is>
          <t>SVC-01</t>
        </is>
      </c>
      <c r="B4" t="inlineStr">
        <is>
          <t>Registration &amp; Electronic ID (EID)</t>
        </is>
      </c>
      <c r="C4" t="n">
        <v>3</v>
      </c>
      <c r="D4" t="n">
        <v>2</v>
      </c>
      <c r="E4" t="n">
        <v>4</v>
      </c>
      <c r="F4" t="n">
        <v>1</v>
      </c>
      <c r="G4" t="n">
        <v>7</v>
      </c>
      <c r="H4" t="n">
        <v>1</v>
      </c>
      <c r="I4" t="n">
        <v>5</v>
      </c>
      <c r="J4" t="n">
        <v>3.78</v>
      </c>
      <c r="K4" t="n">
        <v>4.11</v>
      </c>
      <c r="L4" t="inlineStr">
        <is>
          <t>High</t>
        </is>
      </c>
      <c r="M4" t="inlineStr">
        <is>
          <t>High</t>
        </is>
      </c>
    </row>
    <row r="5">
      <c r="A5" t="inlineStr">
        <is>
          <t>SVC-02</t>
        </is>
      </c>
      <c r="B5" t="inlineStr">
        <is>
          <t>Tracking &amp; Monitoring Service</t>
        </is>
      </c>
      <c r="C5" t="n">
        <v>4</v>
      </c>
      <c r="D5" t="n">
        <v>2</v>
      </c>
      <c r="E5" t="n">
        <v>4</v>
      </c>
      <c r="F5" t="n">
        <v>1</v>
      </c>
      <c r="G5" t="n">
        <v>7</v>
      </c>
      <c r="H5" t="n">
        <v>1</v>
      </c>
      <c r="I5" t="n">
        <v>5</v>
      </c>
      <c r="J5" t="n">
        <v>4.17</v>
      </c>
      <c r="K5" t="n">
        <v>4.33</v>
      </c>
      <c r="L5" t="inlineStr">
        <is>
          <t>High</t>
        </is>
      </c>
      <c r="M5" t="inlineStr">
        <is>
          <t>Critical</t>
        </is>
      </c>
    </row>
    <row r="6">
      <c r="A6" t="inlineStr">
        <is>
          <t>SVC-03</t>
        </is>
      </c>
      <c r="B6" t="inlineStr">
        <is>
          <t>Flight Authorization / U-Plan Service</t>
        </is>
      </c>
      <c r="C6" t="n">
        <v>5</v>
      </c>
      <c r="D6" t="n">
        <v>2</v>
      </c>
      <c r="E6" t="n">
        <v>4</v>
      </c>
      <c r="F6" t="n">
        <v>1</v>
      </c>
      <c r="G6" t="n">
        <v>7</v>
      </c>
      <c r="H6" t="n">
        <v>1</v>
      </c>
      <c r="I6" t="n">
        <v>5</v>
      </c>
      <c r="J6" t="n">
        <v>4.11</v>
      </c>
      <c r="K6" t="n">
        <v>4.11</v>
      </c>
      <c r="L6" t="inlineStr">
        <is>
          <t>High</t>
        </is>
      </c>
      <c r="M6" t="inlineStr">
        <is>
          <t>High</t>
        </is>
      </c>
    </row>
    <row r="7">
      <c r="A7" t="inlineStr">
        <is>
          <t>SVC-04</t>
        </is>
      </c>
      <c r="B7" t="inlineStr">
        <is>
          <t>API Gateway (Service Layer)</t>
        </is>
      </c>
      <c r="C7" t="n">
        <v>4</v>
      </c>
      <c r="D7" t="n">
        <v>3</v>
      </c>
      <c r="E7" t="n">
        <v>5</v>
      </c>
      <c r="F7" t="n">
        <v>1</v>
      </c>
      <c r="G7" t="n">
        <v>9</v>
      </c>
      <c r="H7" t="n">
        <v>1</v>
      </c>
      <c r="I7" t="n">
        <v>5</v>
      </c>
      <c r="J7" t="n">
        <v>3.87</v>
      </c>
      <c r="K7" t="n">
        <v>4.04</v>
      </c>
      <c r="L7" t="inlineStr">
        <is>
          <t>High</t>
        </is>
      </c>
      <c r="M7" t="inlineStr">
        <is>
          <t>High</t>
        </is>
      </c>
    </row>
    <row r="8">
      <c r="A8" t="inlineStr">
        <is>
          <t>SVC-05</t>
        </is>
      </c>
      <c r="B8" t="inlineStr">
        <is>
          <t>Geo-Awareness Service (USSP)</t>
        </is>
      </c>
      <c r="C8" t="n">
        <v>3</v>
      </c>
      <c r="D8" t="n">
        <v>3</v>
      </c>
      <c r="E8" t="n">
        <v>3</v>
      </c>
      <c r="F8" t="n">
        <v>1</v>
      </c>
      <c r="G8" t="n">
        <v>7</v>
      </c>
      <c r="H8" t="n">
        <v>1</v>
      </c>
      <c r="I8" t="n">
        <v>5</v>
      </c>
      <c r="J8" t="n">
        <v>3.48</v>
      </c>
      <c r="K8" t="n">
        <v>3.81</v>
      </c>
      <c r="L8" t="inlineStr">
        <is>
          <t>High</t>
        </is>
      </c>
      <c r="M8" t="inlineStr">
        <is>
          <t>High</t>
        </is>
      </c>
    </row>
    <row r="9">
      <c r="A9" t="inlineStr">
        <is>
          <t>DAT-01</t>
        </is>
      </c>
      <c r="B9" t="inlineStr">
        <is>
          <t>Geo-Awareness Database</t>
        </is>
      </c>
      <c r="C9" t="n">
        <v>4</v>
      </c>
      <c r="D9" t="n">
        <v>2</v>
      </c>
      <c r="E9" t="n">
        <v>2</v>
      </c>
      <c r="F9" t="n">
        <v>3</v>
      </c>
      <c r="G9" t="n">
        <v>7</v>
      </c>
      <c r="H9" t="n">
        <v>1</v>
      </c>
      <c r="I9" t="n">
        <v>5</v>
      </c>
      <c r="J9" t="n">
        <v>4.09</v>
      </c>
      <c r="K9" t="n">
        <v>4.26</v>
      </c>
      <c r="L9" t="inlineStr">
        <is>
          <t>High</t>
        </is>
      </c>
      <c r="M9" t="inlineStr">
        <is>
          <t>Critical</t>
        </is>
      </c>
    </row>
    <row r="10">
      <c r="A10" t="inlineStr">
        <is>
          <t>DAT-02</t>
        </is>
      </c>
      <c r="B10" t="inlineStr">
        <is>
          <t>CIS / Single Source of Truth (SSOT)</t>
        </is>
      </c>
      <c r="C10" t="n">
        <v>5</v>
      </c>
      <c r="D10" t="n">
        <v>5</v>
      </c>
      <c r="E10" t="n">
        <v>2</v>
      </c>
      <c r="F10" t="n">
        <v>0</v>
      </c>
      <c r="G10" t="n">
        <v>7</v>
      </c>
      <c r="H10" t="n">
        <v>1</v>
      </c>
      <c r="I10" t="n">
        <v>5</v>
      </c>
      <c r="J10" t="n">
        <v>4.26</v>
      </c>
      <c r="K10" t="n">
        <v>4.26</v>
      </c>
      <c r="L10" t="inlineStr">
        <is>
          <t>Critical</t>
        </is>
      </c>
      <c r="M10" t="inlineStr">
        <is>
          <t>Critical</t>
        </is>
      </c>
    </row>
    <row r="11">
      <c r="A11" t="inlineStr">
        <is>
          <t>DAT-03</t>
        </is>
      </c>
      <c r="B11" t="inlineStr">
        <is>
          <t>Traffic Data &amp; Weather Services</t>
        </is>
      </c>
      <c r="C11" t="n">
        <v>3</v>
      </c>
      <c r="D11" t="n">
        <v>2</v>
      </c>
      <c r="E11" t="n">
        <v>4</v>
      </c>
      <c r="F11" t="n">
        <v>2</v>
      </c>
      <c r="G11" t="n">
        <v>8</v>
      </c>
      <c r="H11" t="n">
        <v>2</v>
      </c>
      <c r="I11" t="n">
        <v>4</v>
      </c>
      <c r="J11" t="n">
        <v>3.41</v>
      </c>
      <c r="K11" t="n">
        <v>3.57</v>
      </c>
      <c r="L11" t="inlineStr">
        <is>
          <t>High</t>
        </is>
      </c>
      <c r="M11" t="inlineStr">
        <is>
          <t>High</t>
        </is>
      </c>
    </row>
    <row r="12">
      <c r="A12" t="inlineStr">
        <is>
          <t>DAT-04</t>
        </is>
      </c>
      <c r="B12" t="inlineStr">
        <is>
          <t>Logs &amp; Audit Trails</t>
        </is>
      </c>
      <c r="C12" t="n">
        <v>3</v>
      </c>
      <c r="D12" t="n">
        <v>2</v>
      </c>
      <c r="E12" t="n">
        <v>1</v>
      </c>
      <c r="F12" t="n">
        <v>4</v>
      </c>
      <c r="G12" t="n">
        <v>7</v>
      </c>
      <c r="H12" t="n">
        <v>2</v>
      </c>
      <c r="I12" t="n">
        <v>4</v>
      </c>
      <c r="J12" t="n">
        <v>3.63</v>
      </c>
      <c r="K12" t="n">
        <v>3.8</v>
      </c>
      <c r="L12" t="inlineStr">
        <is>
          <t>High</t>
        </is>
      </c>
      <c r="M12" t="inlineStr">
        <is>
          <t>High</t>
        </is>
      </c>
    </row>
    <row r="13">
      <c r="A13" t="inlineStr">
        <is>
          <t>DAT-05</t>
        </is>
      </c>
      <c r="B13" t="inlineStr">
        <is>
          <t>Data Layer API Gateway</t>
        </is>
      </c>
      <c r="C13" t="n">
        <v>3</v>
      </c>
      <c r="D13" t="n">
        <v>4</v>
      </c>
      <c r="E13" t="n">
        <v>3</v>
      </c>
      <c r="F13" t="n">
        <v>1</v>
      </c>
      <c r="G13" t="n">
        <v>8</v>
      </c>
      <c r="H13" t="n">
        <v>1</v>
      </c>
      <c r="I13" t="n">
        <v>5</v>
      </c>
      <c r="J13" t="n">
        <v>3.78</v>
      </c>
      <c r="K13" t="n">
        <v>4.11</v>
      </c>
      <c r="L13" t="inlineStr">
        <is>
          <t>High</t>
        </is>
      </c>
      <c r="M13" t="inlineStr">
        <is>
          <t>High</t>
        </is>
      </c>
    </row>
    <row r="14">
      <c r="A14" t="inlineStr">
        <is>
          <t>DAT-06</t>
        </is>
      </c>
      <c r="B14" t="inlineStr">
        <is>
          <t>Database Server</t>
        </is>
      </c>
      <c r="C14" t="n">
        <v>4</v>
      </c>
      <c r="D14" t="n">
        <v>4</v>
      </c>
      <c r="E14" t="n">
        <v>3</v>
      </c>
      <c r="F14" t="n">
        <v>1</v>
      </c>
      <c r="G14" t="n">
        <v>8</v>
      </c>
      <c r="H14" t="n">
        <v>1</v>
      </c>
      <c r="I14" t="n">
        <v>5</v>
      </c>
      <c r="J14" t="n">
        <v>4.17</v>
      </c>
      <c r="K14" t="n">
        <v>4.33</v>
      </c>
      <c r="L14" t="inlineStr">
        <is>
          <t>High</t>
        </is>
      </c>
      <c r="M14" t="inlineStr">
        <is>
          <t>Critical</t>
        </is>
      </c>
    </row>
    <row r="15">
      <c r="A15" t="inlineStr">
        <is>
          <t>INF-01</t>
        </is>
      </c>
      <c r="B15" t="inlineStr">
        <is>
          <t>GNSS / Navigation Sources</t>
        </is>
      </c>
      <c r="C15" t="n">
        <v>4</v>
      </c>
      <c r="D15" t="n">
        <v>2</v>
      </c>
      <c r="E15" t="n">
        <v>3</v>
      </c>
      <c r="F15" t="n">
        <v>3</v>
      </c>
      <c r="G15" t="n">
        <v>8</v>
      </c>
      <c r="H15" t="n">
        <v>1</v>
      </c>
      <c r="I15" t="n">
        <v>5</v>
      </c>
      <c r="J15" t="n">
        <v>3.87</v>
      </c>
      <c r="K15" t="n">
        <v>4.04</v>
      </c>
      <c r="L15" t="inlineStr">
        <is>
          <t>High</t>
        </is>
      </c>
      <c r="M15" t="inlineStr">
        <is>
          <t>High</t>
        </is>
      </c>
    </row>
    <row r="16">
      <c r="A16" t="inlineStr">
        <is>
          <t>INF-02</t>
        </is>
      </c>
      <c r="B16" t="inlineStr">
        <is>
          <t>Communication Networks (C2/VHF/CNSS)</t>
        </is>
      </c>
      <c r="C16" t="n">
        <v>5</v>
      </c>
      <c r="D16" t="n">
        <v>2</v>
      </c>
      <c r="E16" t="n">
        <v>4</v>
      </c>
      <c r="F16" t="n">
        <v>2</v>
      </c>
      <c r="G16" t="n">
        <v>8</v>
      </c>
      <c r="H16" t="n">
        <v>1</v>
      </c>
      <c r="I16" t="n">
        <v>5</v>
      </c>
      <c r="J16" t="n">
        <v>4.41</v>
      </c>
      <c r="K16" t="n">
        <v>4.41</v>
      </c>
      <c r="L16" t="inlineStr">
        <is>
          <t>Critical</t>
        </is>
      </c>
      <c r="M16" t="inlineStr">
        <is>
          <t>Critical</t>
        </is>
      </c>
    </row>
    <row r="17">
      <c r="A17" t="inlineStr">
        <is>
          <t>INF-03</t>
        </is>
      </c>
      <c r="B17" t="inlineStr">
        <is>
          <t>UAS / Drone Hardware</t>
        </is>
      </c>
      <c r="C17" t="n">
        <v>4</v>
      </c>
      <c r="D17" t="n">
        <v>2</v>
      </c>
      <c r="E17" t="n">
        <v>4</v>
      </c>
      <c r="F17" t="n">
        <v>2</v>
      </c>
      <c r="G17" t="n">
        <v>8</v>
      </c>
      <c r="H17" t="n">
        <v>1</v>
      </c>
      <c r="I17" t="n">
        <v>5</v>
      </c>
      <c r="J17" t="n">
        <v>3.65</v>
      </c>
      <c r="K17" t="n">
        <v>3.81</v>
      </c>
      <c r="L17" t="inlineStr">
        <is>
          <t>High</t>
        </is>
      </c>
      <c r="M17" t="inlineStr">
        <is>
          <t>High</t>
        </is>
      </c>
    </row>
    <row r="18">
      <c r="A18" t="inlineStr">
        <is>
          <t>INF-04</t>
        </is>
      </c>
      <c r="B18" t="inlineStr">
        <is>
          <t>Power &amp; Infrastructure</t>
        </is>
      </c>
      <c r="C18" t="n">
        <v>3</v>
      </c>
      <c r="D18" t="n">
        <v>1</v>
      </c>
      <c r="E18" t="n">
        <v>3</v>
      </c>
      <c r="F18" t="n">
        <v>6</v>
      </c>
      <c r="G18" t="n">
        <v>10</v>
      </c>
      <c r="H18" t="n">
        <v>2</v>
      </c>
      <c r="I18" t="n">
        <v>4</v>
      </c>
      <c r="J18" t="n">
        <v>3.11</v>
      </c>
      <c r="K18" t="n">
        <v>3.28</v>
      </c>
      <c r="L18" t="inlineStr">
        <is>
          <t>Medium</t>
        </is>
      </c>
      <c r="M18" t="inlineStr">
        <is>
          <t>Medium</t>
        </is>
      </c>
    </row>
    <row r="19">
      <c r="A19" t="inlineStr">
        <is>
          <t>INF-05</t>
        </is>
      </c>
      <c r="B19" t="inlineStr">
        <is>
          <t>Sensors &amp; Ground Stations</t>
        </is>
      </c>
      <c r="C19" t="n">
        <v>4</v>
      </c>
      <c r="D19" t="n">
        <v>2</v>
      </c>
      <c r="E19" t="n">
        <v>4</v>
      </c>
      <c r="F19" t="n">
        <v>2</v>
      </c>
      <c r="G19" t="n">
        <v>8</v>
      </c>
      <c r="H19" t="n">
        <v>1</v>
      </c>
      <c r="I19" t="n">
        <v>5</v>
      </c>
      <c r="J19" t="n">
        <v>3.72</v>
      </c>
      <c r="K19" t="n">
        <v>3.89</v>
      </c>
      <c r="L19" t="inlineStr">
        <is>
          <t>High</t>
        </is>
      </c>
      <c r="M19" t="inlineStr">
        <is>
          <t>High</t>
        </is>
      </c>
    </row>
    <row r="20">
      <c r="A20" t="inlineStr">
        <is>
          <t>INF-06</t>
        </is>
      </c>
      <c r="B20" t="inlineStr">
        <is>
          <t>Vertiports &amp; Ground Facilities</t>
        </is>
      </c>
      <c r="C20" t="n">
        <v>3</v>
      </c>
      <c r="D20" t="n">
        <v>2</v>
      </c>
      <c r="E20" t="n">
        <v>2</v>
      </c>
      <c r="F20" t="n">
        <v>4</v>
      </c>
      <c r="G20" t="n">
        <v>8</v>
      </c>
      <c r="H20" t="n">
        <v>2</v>
      </c>
      <c r="I20" t="n">
        <v>4</v>
      </c>
      <c r="J20" t="n">
        <v>3.19</v>
      </c>
      <c r="K20" t="n">
        <v>3.35</v>
      </c>
      <c r="L20" t="inlineStr">
        <is>
          <t>Medium</t>
        </is>
      </c>
      <c r="M2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2026-10-10T22:54:40Z</dcterms:created>
  <dcterms:modified xmlns:dcterms="http://purl.org/dc/terms/" xmlns:xsi="http://www.w3.org/2001/XMLSchema-instance" xsi:type="dcterms:W3CDTF">2026-10-10T23:12:41Z</dcterms:modified>
</cp:coreProperties>
</file>